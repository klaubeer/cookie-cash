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b val="1"/>
      <color rgb="00000000"/>
      <sz val="10"/>
    </font>
    <font>
      <name val="Arial"/>
      <b val="1"/>
      <color rgb="001B5E20"/>
      <sz val="11"/>
    </font>
    <font>
      <name val="Arial"/>
      <b val="1"/>
      <color rgb="00FFFFFF"/>
      <sz val="14"/>
    </font>
    <font>
      <name val="Arial"/>
      <b val="1"/>
      <color rgb="00888888"/>
      <sz val="9"/>
    </font>
    <font>
      <name val="Arial"/>
      <color rgb="00888888"/>
      <sz val="9"/>
    </font>
    <font>
      <name val="Arial"/>
      <i val="1"/>
      <color rgb="00AAAAAA"/>
      <sz val="8"/>
    </font>
    <font>
      <name val="Arial"/>
      <b val="1"/>
      <color rgb="001B5E20"/>
      <sz val="12"/>
    </font>
    <font>
      <name val="Arial"/>
      <b val="1"/>
      <color rgb="00B71C1C"/>
      <sz val="12"/>
    </font>
    <font>
      <name val="Arial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E8F8EC"/>
      </patternFill>
    </fill>
    <fill>
      <patternFill patternType="solid">
        <fgColor rgb="00FFCCD5"/>
      </patternFill>
    </fill>
    <fill>
      <patternFill patternType="solid">
        <fgColor rgb="00FFE5EA"/>
      </patternFill>
    </fill>
    <fill>
      <patternFill patternType="solid">
        <fgColor rgb="00B7E4C7"/>
      </patternFill>
    </fill>
    <fill>
      <patternFill patternType="solid">
        <fgColor rgb="001B4332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164" fontId="2" fillId="11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4" customWidth="1" min="4" max="4"/>
    <col width="10" customWidth="1" min="5" max="5"/>
    <col width="22" customWidth="1" min="6" max="6"/>
  </cols>
  <sheetData>
    <row r="1" ht="28" customHeight="1">
      <c r="A1" s="1" t="inlineStr">
        <is>
          <t>Data</t>
        </is>
      </c>
      <c r="B1" s="1" t="inlineStr">
        <is>
          <t>Tipo</t>
        </is>
      </c>
      <c r="C1" s="1" t="inlineStr">
        <is>
          <t>Descrição</t>
        </is>
      </c>
      <c r="D1" s="1" t="inlineStr">
        <is>
          <t>Valor (R$)</t>
        </is>
      </c>
      <c r="E1" s="1" t="inlineStr">
        <is>
          <t>Origem</t>
        </is>
      </c>
      <c r="F1" s="1" t="inlineStr">
        <is>
          <t>Timestamp</t>
        </is>
      </c>
    </row>
    <row r="2" ht="22" customHeight="1">
      <c r="A2" s="2" t="inlineStr">
        <is>
          <t>27/03/2026</t>
        </is>
      </c>
      <c r="B2" s="3" t="inlineStr">
        <is>
          <t>RECEITA</t>
        </is>
      </c>
      <c r="C2" s="4" t="inlineStr">
        <is>
          <t>Joana — 4 cookies</t>
        </is>
      </c>
      <c r="D2" s="5" t="n">
        <v>60</v>
      </c>
      <c r="E2" s="2" t="inlineStr">
        <is>
          <t>texto</t>
        </is>
      </c>
      <c r="F2" s="2" t="inlineStr">
        <is>
          <t>2026-03-27T09:00:00</t>
        </is>
      </c>
    </row>
    <row r="3" ht="22" customHeight="1">
      <c r="A3" s="6" t="inlineStr">
        <is>
          <t>27/03/2026</t>
        </is>
      </c>
      <c r="B3" s="7" t="inlineStr">
        <is>
          <t>RECEITA</t>
        </is>
      </c>
      <c r="C3" s="8" t="inlineStr">
        <is>
          <t>Ana — 6 cookies</t>
        </is>
      </c>
      <c r="D3" s="9" t="n">
        <v>90</v>
      </c>
      <c r="E3" s="6" t="inlineStr">
        <is>
          <t>áudio</t>
        </is>
      </c>
      <c r="F3" s="6" t="inlineStr">
        <is>
          <t>2026-03-27T14:30:00</t>
        </is>
      </c>
    </row>
    <row r="4" ht="22" customHeight="1">
      <c r="A4" s="10" t="inlineStr">
        <is>
          <t>27/03/2026</t>
        </is>
      </c>
      <c r="B4" s="11" t="inlineStr">
        <is>
          <t>DESPESA</t>
        </is>
      </c>
      <c r="C4" s="12" t="inlineStr">
        <is>
          <t>Mercadão — farinha, ovos, manteiga</t>
        </is>
      </c>
      <c r="D4" s="13" t="n">
        <v>87.5</v>
      </c>
      <c r="E4" s="10" t="inlineStr">
        <is>
          <t>foto</t>
        </is>
      </c>
      <c r="F4" s="10" t="inlineStr">
        <is>
          <t>2026-03-27T09:00:00</t>
        </is>
      </c>
    </row>
    <row r="5" ht="22" customHeight="1">
      <c r="A5" s="6" t="inlineStr">
        <is>
          <t>26/03/2026</t>
        </is>
      </c>
      <c r="B5" s="7" t="inlineStr">
        <is>
          <t>RECEITA</t>
        </is>
      </c>
      <c r="C5" s="8" t="inlineStr">
        <is>
          <t>Maria — caixa 12 cookies</t>
        </is>
      </c>
      <c r="D5" s="9" t="n">
        <v>150</v>
      </c>
      <c r="E5" s="6" t="inlineStr">
        <is>
          <t>texto</t>
        </is>
      </c>
      <c r="F5" s="6" t="inlineStr">
        <is>
          <t>2026-03-26T14:30:00</t>
        </is>
      </c>
    </row>
    <row r="6" ht="22" customHeight="1">
      <c r="A6" s="10" t="inlineStr">
        <is>
          <t>26/03/2026</t>
        </is>
      </c>
      <c r="B6" s="11" t="inlineStr">
        <is>
          <t>DESPESA</t>
        </is>
      </c>
      <c r="C6" s="12" t="inlineStr">
        <is>
          <t>Atacadão — chocolate, açúcar</t>
        </is>
      </c>
      <c r="D6" s="13" t="n">
        <v>112.3</v>
      </c>
      <c r="E6" s="10" t="inlineStr">
        <is>
          <t>foto</t>
        </is>
      </c>
      <c r="F6" s="10" t="inlineStr">
        <is>
          <t>2026-03-26T09:00:00</t>
        </is>
      </c>
    </row>
    <row r="7" ht="22" customHeight="1">
      <c r="A7" s="6" t="inlineStr">
        <is>
          <t>25/03/2026</t>
        </is>
      </c>
      <c r="B7" s="7" t="inlineStr">
        <is>
          <t>RECEITA</t>
        </is>
      </c>
      <c r="C7" s="8" t="inlineStr">
        <is>
          <t>Carla — 3 cookies</t>
        </is>
      </c>
      <c r="D7" s="9" t="n">
        <v>45</v>
      </c>
      <c r="E7" s="6" t="inlineStr">
        <is>
          <t>texto</t>
        </is>
      </c>
      <c r="F7" s="6" t="inlineStr">
        <is>
          <t>2026-03-25T14:30:00</t>
        </is>
      </c>
    </row>
    <row r="8" ht="22" customHeight="1">
      <c r="A8" s="10" t="inlineStr">
        <is>
          <t>25/03/2026</t>
        </is>
      </c>
      <c r="B8" s="11" t="inlineStr">
        <is>
          <t>DESPESA</t>
        </is>
      </c>
      <c r="C8" s="12" t="inlineStr">
        <is>
          <t>Mercado Bom Preço — leite condensado</t>
        </is>
      </c>
      <c r="D8" s="13" t="n">
        <v>34.9</v>
      </c>
      <c r="E8" s="10" t="inlineStr">
        <is>
          <t>foto</t>
        </is>
      </c>
      <c r="F8" s="10" t="inlineStr">
        <is>
          <t>2026-03-25T09:00:00</t>
        </is>
      </c>
    </row>
    <row r="9" ht="22" customHeight="1">
      <c r="A9" s="6" t="inlineStr">
        <is>
          <t>24/03/2026</t>
        </is>
      </c>
      <c r="B9" s="7" t="inlineStr">
        <is>
          <t>RECEITA</t>
        </is>
      </c>
      <c r="C9" s="8" t="inlineStr">
        <is>
          <t>Patrícia — encomenda festa</t>
        </is>
      </c>
      <c r="D9" s="9" t="n">
        <v>280</v>
      </c>
      <c r="E9" s="6" t="inlineStr">
        <is>
          <t>áudio</t>
        </is>
      </c>
      <c r="F9" s="6" t="inlineStr">
        <is>
          <t>2026-03-24T14:30:00</t>
        </is>
      </c>
    </row>
    <row r="10" ht="22" customHeight="1">
      <c r="A10" s="2" t="inlineStr">
        <is>
          <t>23/03/2026</t>
        </is>
      </c>
      <c r="B10" s="3" t="inlineStr">
        <is>
          <t>RECEITA</t>
        </is>
      </c>
      <c r="C10" s="4" t="inlineStr">
        <is>
          <t>Julia — 5 cookies</t>
        </is>
      </c>
      <c r="D10" s="5" t="n">
        <v>75</v>
      </c>
      <c r="E10" s="2" t="inlineStr">
        <is>
          <t>texto</t>
        </is>
      </c>
      <c r="F10" s="2" t="inlineStr">
        <is>
          <t>2026-03-23T09:00:00</t>
        </is>
      </c>
    </row>
    <row r="11" ht="22" customHeight="1">
      <c r="A11" s="14" t="inlineStr">
        <is>
          <t>23/03/2026</t>
        </is>
      </c>
      <c r="B11" s="15" t="inlineStr">
        <is>
          <t>DESPESA</t>
        </is>
      </c>
      <c r="C11" s="16" t="inlineStr">
        <is>
          <t>Atacadão — embalagens</t>
        </is>
      </c>
      <c r="D11" s="17" t="n">
        <v>48</v>
      </c>
      <c r="E11" s="14" t="inlineStr">
        <is>
          <t>foto</t>
        </is>
      </c>
      <c r="F11" s="14" t="inlineStr">
        <is>
          <t>2026-03-23T14:30:00</t>
        </is>
      </c>
    </row>
    <row r="12" ht="22" customHeight="1">
      <c r="A12" s="2" t="inlineStr">
        <is>
          <t>10/02/2026</t>
        </is>
      </c>
      <c r="B12" s="3" t="inlineStr">
        <is>
          <t>RECEITA</t>
        </is>
      </c>
      <c r="C12" s="4" t="inlineStr">
        <is>
          <t>Sandra — 8 cookies</t>
        </is>
      </c>
      <c r="D12" s="5" t="n">
        <v>120</v>
      </c>
      <c r="E12" s="2" t="inlineStr">
        <is>
          <t>texto</t>
        </is>
      </c>
      <c r="F12" s="2" t="inlineStr">
        <is>
          <t>2026-02-10T09:00:00</t>
        </is>
      </c>
    </row>
    <row r="13" ht="22" customHeight="1">
      <c r="A13" s="14" t="inlineStr">
        <is>
          <t>05/02/2026</t>
        </is>
      </c>
      <c r="B13" s="15" t="inlineStr">
        <is>
          <t>DESPESA</t>
        </is>
      </c>
      <c r="C13" s="16" t="inlineStr">
        <is>
          <t>Mercadão — insumos fevereiro</t>
        </is>
      </c>
      <c r="D13" s="17" t="n">
        <v>210</v>
      </c>
      <c r="E13" s="14" t="inlineStr">
        <is>
          <t>foto</t>
        </is>
      </c>
      <c r="F13" s="14" t="inlineStr">
        <is>
          <t>2026-02-05T14:30:00</t>
        </is>
      </c>
    </row>
    <row r="14" ht="26" customHeight="1">
      <c r="C14" s="18" t="inlineStr">
        <is>
          <t>SALDO DO PERÍODO</t>
        </is>
      </c>
      <c r="D14" s="19">
        <f>SUMIF(B2:B13,"RECEITA",D2:D13)-SUMIF(B2:B13,"DESPESA",D2:D13)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</cols>
  <sheetData>
    <row r="1" ht="36" customHeight="1">
      <c r="A1" s="20" t="inlineStr">
        <is>
          <t>🍪  Cookie Finance — Resumo</t>
        </is>
      </c>
    </row>
    <row r="2" ht="8" customHeight="1"/>
    <row r="3" ht="18" customHeight="1">
      <c r="A3" s="21" t="inlineStr">
        <is>
          <t>PERÍODO DE ANÁLISE</t>
        </is>
      </c>
    </row>
    <row r="4" ht="26" customHeight="1">
      <c r="A4" s="22" t="inlineStr">
        <is>
          <t>Período</t>
        </is>
      </c>
      <c r="B4" s="23" t="inlineStr">
        <is>
          <t>Mês atual</t>
        </is>
      </c>
    </row>
    <row r="5" ht="26" customHeight="1">
      <c r="A5" s="24" t="inlineStr">
        <is>
          <t>De</t>
        </is>
      </c>
      <c r="B5" s="25">
        <f>IFS(B4="Mês atual",DATE(YEAR(TODAY()),MONTH(TODAY()),1),B4="Ano atual",DATE(YEAR(TODAY()),1,1),B4="Últimos 7 dias",TODAY()-7,B4="Últimos 30 dias",TODAY()-30,B4="Personalizado",B7)</f>
        <v/>
      </c>
    </row>
    <row r="6" ht="26" customHeight="1">
      <c r="A6" s="24" t="inlineStr">
        <is>
          <t>Até</t>
        </is>
      </c>
      <c r="B6" s="25">
        <f>IFS(B4="Mês atual",EOMONTH(TODAY(),0),B4="Ano atual",DATE(YEAR(TODAY()),12,31),B4="Últimos 7 dias",TODAY(),B4="Últimos 30 dias",TODAY(),B4="Personalizado",C7)</f>
        <v/>
      </c>
    </row>
    <row r="7" ht="22" customHeight="1">
      <c r="A7" s="26" t="inlineStr">
        <is>
          <t>↳ Personalizado:</t>
        </is>
      </c>
      <c r="B7" s="27" t="n"/>
      <c r="C7" s="27" t="n"/>
      <c r="D7" s="28" t="inlineStr">
        <is>
          <t>← De  |  Até →</t>
        </is>
      </c>
    </row>
    <row r="8" ht="10" customHeight="1"/>
    <row r="9" ht="18" customHeight="1">
      <c r="A9" s="21" t="inlineStr">
        <is>
          <t>RESULTADOS</t>
        </is>
      </c>
    </row>
    <row r="10" ht="32" customHeight="1">
      <c r="A10" s="29" t="inlineStr">
        <is>
          <t>RECEITAS</t>
        </is>
      </c>
      <c r="B10" s="30">
        <f>SUMPRODUCT((Lançamentos!$A$2:$A$1000&gt;=$B$5)*(Lançamentos!$A$2:$A$1000&lt;=$B$6)*(Lançamentos!$B$2:$B$1000="RECEITA")*Lançamentos!$D$2:$D$1000)</f>
        <v/>
      </c>
    </row>
    <row r="11" ht="32" customHeight="1">
      <c r="A11" s="31" t="inlineStr">
        <is>
          <t>DESPESAS</t>
        </is>
      </c>
      <c r="B11" s="32">
        <f>SUMPRODUCT((Lançamentos!$A$2:$A$1000&gt;=$B$5)*(Lançamentos!$A$2:$A$1000&lt;=$B$6)*(Lançamentos!$B$2:$B$1000="DESPESA")*Lançamentos!$D$2:$D$1000)</f>
        <v/>
      </c>
    </row>
    <row r="12" ht="8" customHeight="1"/>
    <row r="13" ht="36" customHeight="1">
      <c r="A13" s="33" t="inlineStr">
        <is>
          <t>SALDO</t>
        </is>
      </c>
      <c r="B13" s="34">
        <f>B10-B11</f>
        <v/>
      </c>
    </row>
    <row r="15" ht="16" customHeight="1">
      <c r="A15" s="28" t="inlineStr">
        <is>
          <t>* Atualizado automaticamente. Para período personalizado, preenha as células De/Até na linha 7.</t>
        </is>
      </c>
    </row>
  </sheetData>
  <mergeCells count="5">
    <mergeCell ref="A1:D1"/>
    <mergeCell ref="A9:D9"/>
    <mergeCell ref="D7"/>
    <mergeCell ref="A3:D3"/>
    <mergeCell ref="A15:D15"/>
  </mergeCells>
  <dataValidations count="1">
    <dataValidation sqref="B4" showDropDown="0" showInputMessage="0" showErrorMessage="0" allowBlank="0" errorTitle="Valor inválido" error="Escolha uma opção da lista" type="list">
      <formula1>"Mês atual,Ano atual,Últimos 7 dias,Últimos 30 dias,Personalizado"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2026-03-27T17:56:28Z</dcterms:created>
  <dcterms:modified xmlns:dcterms="http://purl.org/dc/terms/" xmlns:xsi="http://www.w3.org/2001/XMLSchema-instance" xsi:type="dcterms:W3CDTF">2026-03-27T17:56:28Z</dcterms:modified>
</cp:coreProperties>
</file>